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90ea99c8e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ços default" sheetId="1" r:id="Rf0ccd01cec364d21"/>
    <x:sheet xmlns:r="http://schemas.openxmlformats.org/officeDocument/2006/relationships" name="Resumo" sheetId="2" r:id="R36d2b19d1ee74213"/>
    <x:sheet xmlns:r="http://schemas.openxmlformats.org/officeDocument/2006/relationships" name="Metodologia" sheetId="3" r:id="R5b5e69c4fffb46ba"/>
    <x:sheet xmlns:r="http://schemas.openxmlformats.org/officeDocument/2006/relationships" name="Ranking default" sheetId="4" r:id="R4d6c6a2bb2f3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0c3be87d1418c" /><Relationship Type="http://schemas.openxmlformats.org/officeDocument/2006/relationships/theme" Target="/xl/theme/theme1.xml" Id="R0334f56163d944e8" /><Relationship Type="http://schemas.openxmlformats.org/officeDocument/2006/relationships/sharedStrings" Target="/xl/sharedStrings.xml" Id="R68810980fad54f2a" /><Relationship Type="http://schemas.openxmlformats.org/officeDocument/2006/relationships/worksheet" Target="/xl/worksheets/sheet1.xml" Id="Rf0ccd01cec364d21" /><Relationship Type="http://schemas.openxmlformats.org/officeDocument/2006/relationships/worksheet" Target="/xl/worksheets/sheet2.xml" Id="R36d2b19d1ee74213" /><Relationship Type="http://schemas.openxmlformats.org/officeDocument/2006/relationships/worksheet" Target="/xl/worksheets/sheet3.xml" Id="R5b5e69c4fffb46ba" /><Relationship Type="http://schemas.openxmlformats.org/officeDocument/2006/relationships/worksheet" Target="/xl/worksheets/sheet4.xml" Id="R4d6c6a2bb2f34111" /></Relationships>
</file>

<file path=xl/tables/table1.xml><?xml version="1.0" encoding="utf-8"?>
<x:table xmlns:x="http://schemas.openxmlformats.org/spreadsheetml/2006/main" id="1" name="PrecoReagentesPDI" displayName="PrecoReagentesPDI" ref="A1:K31" headerRowCount="1">
  <x:tableColumns count="11">
    <x:tableColumn id="1" name="Reagente consolidado"/>
    <x:tableColumn id="2" name="Especificação assumida"/>
    <x:tableColumn id="3" name="Unidade-base"/>
    <x:tableColumn id="4" name="Menor preço (R$/un)"/>
    <x:tableColumn id="5" name="Média simples (R$/un)"/>
    <x:tableColumn id="6" name="Maior preço (R$/un)"/>
    <x:tableColumn id="7" name="Default PDI sugerido (R$/un)"/>
    <x:tableColumn id="8" name="Variação relativa"/>
    <x:tableColumn id="9" name="Base da evidência"/>
    <x:tableColumn id="10" name="Observações de uso"/>
    <x:tableColumn id="11" name="Fontes / URLs"/>
  </x:tableColumns>
  <x:tableStyleInfo name="TableStyleMedium2" showRowStripes="1"/>
</x:table>
</file>

<file path=xl/tables/table2.xml><?xml version="1.0" encoding="utf-8"?>
<x:table xmlns:x="http://schemas.openxmlformats.org/spreadsheetml/2006/main" id="2" name="RankingDefaults" displayName="RankingDefaults" ref="A1:E31" headerRowCount="1">
  <x:tableColumns count="5">
    <x:tableColumn id="1" name="Reagente"/>
    <x:tableColumn id="2" name="Unidade-base"/>
    <x:tableColumn id="3" name="Default PDI sugerido"/>
    <x:tableColumn id="4" name="Base da evidência"/>
    <x:tableColumn id="5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f089dd5bb141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81f021ccf954ad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24" hidden="0" customWidth="1"/>
    <x:col min="10" max="10" width="48" hidden="0" customWidth="1"/>
    <x:col min="11" max="11" width="60" hidden="0" customWidth="1"/>
  </x:cols>
  <x:sheetData>
    <x:row r="1" ht="42" customHeight="1">
      <x:c r="A1" s="18" t="str">
        <x:v>Reagente consolidado</x:v>
      </x:c>
      <x:c r="B1" s="18" t="str">
        <x:v>Especificação assumida</x:v>
      </x:c>
      <x:c r="C1" s="18" t="str">
        <x:v>Unidade-base</x:v>
      </x:c>
      <x:c r="D1" s="18" t="str">
        <x:v>Menor preço (R$/un)</x:v>
      </x:c>
      <x:c r="E1" s="18" t="str">
        <x:v>Média simples (R$/un)</x:v>
      </x:c>
      <x:c r="F1" s="18" t="str">
        <x:v>Maior preço (R$/un)</x:v>
      </x:c>
      <x:c r="G1" s="18" t="str">
        <x:v>Default PDI sugerido (R$/un)</x:v>
      </x:c>
      <x:c r="H1" s="18" t="str">
        <x:v>Variação relativa</x:v>
      </x:c>
      <x:c r="I1" s="18" t="str">
        <x:v>Base da evidência</x:v>
      </x:c>
      <x:c r="J1" s="18" t="str">
        <x:v>Observações de uso</x:v>
      </x:c>
      <x:c r="K1" s="18" t="str">
        <x:v>Fontes / URLs</x:v>
      </x:c>
    </x:row>
    <x:row r="2" ht="30" customHeight="1">
      <x:c r="A2" s="19" t="str">
        <x:v>Etanol / álcool etílico</x:v>
      </x:c>
      <x:c r="B2" s="19" t="str">
        <x:v>PA/ACS ou absoluto; usar 1 L como referência</x:v>
      </x:c>
      <x:c r="C2" s="19" t="str">
        <x:v>R$/L</x:v>
      </x:c>
      <x:c r="D2" s="20" t="n">
        <x:v>21.4</x:v>
      </x:c>
      <x:c r="E2" s="20" t="n">
        <x:v>30.43</x:v>
      </x:c>
      <x:c r="F2" s="20" t="n">
        <x:v>44.9</x:v>
      </x:c>
      <x:c r="G2" s="20" t="n">
        <x:v>30</x:v>
      </x:c>
      <x:c r="H2" s="21" t="n">
        <x:f>IFERROR((F2-D2)/E2,"")</x:f>
        <x:v>0.7722642129477489</x:v>
      </x:c>
      <x:c r="I2" s="19" t="str">
        <x:v>Preço aberto</x:v>
      </x:c>
      <x:c r="J2" s="19" t="str">
        <x:v>Para projetos, diferenciar 95%, absoluto e grau HPLC quando relevante.</x:v>
      </x:c>
      <x:c r="K2" s="19" t="str">
        <x:v>https://scqonline.com/alcool-etilico-absoluto-p-a-99-8-1l-14644
https://www.eplab.com.br/produto/etanol-95-pa-acs-1l-dinamica/
https://www.alcacerlab.com.br/produto/etanol-anidro-absoluto-99-5-pa-1-litro/</x:v>
      </x:c>
    </x:row>
    <x:row r="3" ht="30" customHeight="1">
      <x:c r="A3" s="19" t="str">
        <x:v>Hidróxido de sódio</x:v>
      </x:c>
      <x:c r="B3" s="19" t="str">
        <x:v>Pérolas/lentilhas PA/ACS; 1 kg</x:v>
      </x:c>
      <x:c r="C3" s="19" t="str">
        <x:v>R$/kg</x:v>
      </x:c>
      <x:c r="D3" s="20" t="n">
        <x:v>18.66</x:v>
      </x:c>
      <x:c r="E3" s="20" t="n">
        <x:v>63.89</x:v>
      </x:c>
      <x:c r="F3" s="20" t="n">
        <x:v>140.2</x:v>
      </x:c>
      <x:c r="G3" s="20" t="n">
        <x:v>46</x:v>
      </x:c>
      <x:c r="H3" s="21" t="n">
        <x:f>IFERROR((F3-D3)/E3,"")</x:f>
        <x:v>1.9023321333542025</x:v>
      </x:c>
      <x:c r="I3" s="19" t="str">
        <x:v>Preço aberto; alta dispersão</x:v>
      </x:c>
      <x:c r="J3" s="19" t="str">
        <x:v>A média é puxada por fornecedores caros; default sugerido usa faixa típica de 1 kg PA/ACS.</x:v>
      </x:c>
      <x:c r="K3" s="19" t="str">
        <x:v>https://scqonline.com/hidroxido-de-sodio-perolas-p-a-acs-1kg
https://www.laderquimica.com.br/hidroxido-de-sodio-microperolas-pa-1kg-dinamica
https://www.lumilabor.com.br/reagentes/hidroxido-de-sodio-lentilhas-pa-acs-1kg
https://www.jglab.com.br/hidroxido-de-sodio-em-lentilhas-reagente-pa-acs</x:v>
      </x:c>
    </x:row>
    <x:row r="4" ht="30" customHeight="1">
      <x:c r="A4" s="19" t="str">
        <x:v>Metanol</x:v>
      </x:c>
      <x:c r="B4" s="19" t="str">
        <x:v>PA/ACS; 1 L</x:v>
      </x:c>
      <x:c r="C4" s="19" t="str">
        <x:v>R$/L</x:v>
      </x:c>
      <x:c r="D4" s="20" t="n">
        <x:v>29.92</x:v>
      </x:c>
      <x:c r="E4" s="20" t="n">
        <x:v>31.6</x:v>
      </x:c>
      <x:c r="F4" s="20" t="n">
        <x:v>34.87</x:v>
      </x:c>
      <x:c r="G4" s="20" t="n">
        <x:v>32</x:v>
      </x:c>
      <x:c r="H4" s="21" t="n">
        <x:f>IFERROR((F4-D4)/E4,"")</x:f>
        <x:v>0.15664556962025303</x:v>
      </x:c>
      <x:c r="I4" s="19" t="str">
        <x:v>Preço aberto</x:v>
      </x:c>
      <x:c r="J4" s="19" t="str">
        <x:v>Grau HPLC pode ser substancialmente mais caro.</x:v>
      </x:c>
      <x:c r="K4" s="19" t="str">
        <x:v>https://scqonline.com/alcool-metilico-p-a-acs-1l
https://www.labimport.com.br/reagentes/alcool/metanol-pa-acs-iso-1l
https://www.jrvimig.com.br/metanol-pa-acs-1-litro</x:v>
      </x:c>
    </x:row>
    <x:row r="5" ht="30" customHeight="1">
      <x:c r="A5" s="19" t="str">
        <x:v>Sulfato de sódio anidro</x:v>
      </x:c>
      <x:c r="B5" s="19" t="str">
        <x:v>PA; 1 kg</x:v>
      </x:c>
      <x:c r="C5" s="19" t="str">
        <x:v>R$/kg</x:v>
      </x:c>
      <x:c r="D5" s="20" t="n">
        <x:v>32</x:v>
      </x:c>
      <x:c r="E5" s="20" t="n">
        <x:v>34.72</x:v>
      </x:c>
      <x:c r="F5" s="20" t="n">
        <x:v>36.36</x:v>
      </x:c>
      <x:c r="G5" s="20" t="n">
        <x:v>35</x:v>
      </x:c>
      <x:c r="H5" s="21" t="n">
        <x:f>IFERROR((F5-D5)/E5,"")</x:f>
        <x:v>0.12557603686635943</x:v>
      </x:c>
      <x:c r="I5" s="19" t="str">
        <x:v>Preço aberto</x:v>
      </x:c>
      <x:c r="J5" s="19" t="str"/>
      <x:c r="K5" s="19" t="str">
        <x:v>https://www.lojasynth.com/reagentes/sulfato-de-sodio-anidro-p-a
https://www.laderquimica.com.br/sulfato-de-sodio-anidro-pa-1kg-dinamica
https://sipac.ufrn.br/public/baixar/arquivo.jsf?idArquivo=2117084</x:v>
      </x:c>
    </x:row>
    <x:row r="6" ht="30" customHeight="1">
      <x:c r="A6" s="19" t="str">
        <x:v>Hidróxido de potássio</x:v>
      </x:c>
      <x:c r="B6" s="19" t="str">
        <x:v>Pellets PA/ACS; 1 kg</x:v>
      </x:c>
      <x:c r="C6" s="19" t="str">
        <x:v>R$/kg</x:v>
      </x:c>
      <x:c r="D6" s="20" t="n">
        <x:v>76.66</x:v>
      </x:c>
      <x:c r="E6" s="20" t="n">
        <x:v>99.06</x:v>
      </x:c>
      <x:c r="F6" s="20" t="n">
        <x:v>133.76</x:v>
      </x:c>
      <x:c r="G6" s="20" t="n">
        <x:v>87</x:v>
      </x:c>
      <x:c r="H6" s="21" t="n">
        <x:f>IFERROR((F6-D6)/E6,"")</x:f>
        <x:v>0.5764183323238441</x:v>
      </x:c>
      <x:c r="I6" s="19" t="str">
        <x:v>Preço aberto</x:v>
      </x:c>
      <x:c r="J6" s="19" t="str"/>
      <x:c r="K6" s="19" t="str">
        <x:v>https://www.didaticasp.com.br/hidroxido-de-potassio-pa-acs-1kg
https://www.labimport.com.br/reagentes/base/hidroxido-de-potassio-pellets-pa-1000g</x:v>
      </x:c>
    </x:row>
    <x:row r="7" ht="30" customHeight="1">
      <x:c r="A7" s="19" t="str">
        <x:v>Tetraidrofurano (THF)</x:v>
      </x:c>
      <x:c r="B7" s="19" t="str">
        <x:v>PA/ACS; 1 L</x:v>
      </x:c>
      <x:c r="C7" s="19" t="str">
        <x:v>R$/L</x:v>
      </x:c>
      <x:c r="D7" s="20" t="n">
        <x:v>96.63</x:v>
      </x:c>
      <x:c r="E7" s="20" t="n">
        <x:v>149.02</x:v>
      </x:c>
      <x:c r="F7" s="20" t="n">
        <x:v>219.7</x:v>
      </x:c>
      <x:c r="G7" s="20" t="n">
        <x:v>145</x:v>
      </x:c>
      <x:c r="H7" s="21" t="n">
        <x:f>IFERROR((F7-D7)/E7,"")</x:f>
        <x:v>0.8258623003623674</x:v>
      </x:c>
      <x:c r="I7" s="19" t="str">
        <x:v>Preço aberto; produto controlado/inflamável</x:v>
      </x:c>
      <x:c r="J7" s="19" t="str">
        <x:v>Evitei incluir outlier de R$450/L; verificar grau, estabilizante e controle regulatório.</x:v>
      </x:c>
      <x:c r="K7" s="19" t="str">
        <x:v>https://scqonline.com/tetrahidrofurano-p-a-acs-1l
https://orionprodutoscientificos.com.br/tetrahidrofurano-pa-acs-1l-exodo
https://www.lojaacscientifica.com.br/tetrahidrofurano-pa-acs
https://www.globallabor.com.br/tetrahidrofurano-pa-acs-1l-exodo-cientifica
https://www.didaticasp.com.br/tetrahidrofurano-pa-acs-1l
https://www.quimisulsc.com.br/tetrahidrofurano-p-a-acs-1-l</x:v>
      </x:c>
    </x:row>
    <x:row r="8" ht="30" customHeight="1">
      <x:c r="A8" s="19" t="str">
        <x:v>Cloreto de sódio</x:v>
      </x:c>
      <x:c r="B8" s="19" t="str">
        <x:v>PA/ACS; 1 kg</x:v>
      </x:c>
      <x:c r="C8" s="19" t="str">
        <x:v>R$/kg</x:v>
      </x:c>
      <x:c r="D8" s="20" t="n">
        <x:v>13.28</x:v>
      </x:c>
      <x:c r="E8" s="20" t="n">
        <x:v>26.16</x:v>
      </x:c>
      <x:c r="F8" s="20" t="n">
        <x:v>40</x:v>
      </x:c>
      <x:c r="G8" s="20" t="n">
        <x:v>26</x:v>
      </x:c>
      <x:c r="H8" s="21" t="n">
        <x:f>IFERROR((F8-D8)/E8,"")</x:f>
        <x:v>1.0214067278287462</x:v>
      </x:c>
      <x:c r="I8" s="19" t="str">
        <x:v>Preço aberto</x:v>
      </x:c>
      <x:c r="J8" s="19" t="str">
        <x:v>Reagente de baixo custo; preço varia mais por fornecedor e embalagem do que por especificação.</x:v>
      </x:c>
      <x:c r="K8" s="19" t="str">
        <x:v>https://www.lojasynth.com/reagentes/cloreto-de-sodio-p-a-a-c-s
https://www.noxsolutions.com.br/cloreto-de-sodio-pa-acs-1000g
https://www.lojadolaboratorio.com.br/cloreto-de-sodio-pa-acs-1000g
https://dicalab.com.br/produto/cloreto-de-sodio-pa-acs-1kg
https://www.gov.br/pncp/pt-br</x:v>
      </x:c>
    </x:row>
    <x:row r="9" ht="30" customHeight="1">
      <x:c r="A9" s="19" t="str">
        <x:v>Ácido sulfúrico</x:v>
      </x:c>
      <x:c r="B9" s="19" t="str">
        <x:v>95–98% PA/ACS; 1 L</x:v>
      </x:c>
      <x:c r="C9" s="19" t="str">
        <x:v>R$/L</x:v>
      </x:c>
      <x:c r="D9" s="20" t="n">
        <x:v>74.38</x:v>
      </x:c>
      <x:c r="E9" s="20" t="n">
        <x:v>118.04</x:v>
      </x:c>
      <x:c r="F9" s="20" t="n">
        <x:v>140</x:v>
      </x:c>
      <x:c r="G9" s="20" t="n">
        <x:v>120</x:v>
      </x:c>
      <x:c r="H9" s="21" t="n">
        <x:f>IFERROR((F9-D9)/E9,"")</x:f>
        <x:v>0.5559132497458489</x:v>
      </x:c>
      <x:c r="I9" s="19" t="str">
        <x:v>Preço público/ata + preço aberto</x:v>
      </x:c>
      <x:c r="J9" s="19" t="str">
        <x:v>Produto corrosivo; conferir frete especializado e restrições antes de usar em orçamento final.</x:v>
      </x:c>
      <x:c r="K9" s="19" t="str">
        <x:v>https://www.ss88.com.br/acido-sulfurico-95-98-pa-acs-1l
https://pncp.gov.br/app/editais
https://portalpadrao.ufpi.br/proplan/licitacoes/arquivos/2025/etp-reagentes-quimicos</x:v>
      </x:c>
    </x:row>
    <x:row r="10" ht="30" customHeight="1">
      <x:c r="A10" s="19" t="str">
        <x:v>Acetato de sódio</x:v>
      </x:c>
      <x:c r="B10" s="19" t="str">
        <x:v>Tri-hidratado ou anidro PA; 1 kg</x:v>
      </x:c>
      <x:c r="C10" s="19" t="str">
        <x:v>R$/kg</x:v>
      </x:c>
      <x:c r="D10" s="20" t="n">
        <x:v>35</x:v>
      </x:c>
      <x:c r="E10" s="20" t="n">
        <x:v>71.1</x:v>
      </x:c>
      <x:c r="F10" s="20" t="n">
        <x:v>135.15</x:v>
      </x:c>
      <x:c r="G10" s="20" t="n">
        <x:v>60</x:v>
      </x:c>
      <x:c r="H10" s="21" t="n">
        <x:f>IFERROR((F10-D10)/E10,"")</x:f>
        <x:v>1.4085794655414912</x:v>
      </x:c>
      <x:c r="I10" s="19" t="str">
        <x:v>Preço aberto; especificação influencia muito</x:v>
      </x:c>
      <x:c r="J10" s="19" t="str">
        <x:v>Anidro é mais caro; se o projeto especificar tri-hidratado, usar faixa inferior.</x:v>
      </x:c>
      <x:c r="K10" s="19" t="str">
        <x:v>https://www.ciruvix.com.br/produto/acetato-de-sodio-trihidratado-pa-1000g
https://www.noxsolutions.com.br/acetato-de-sodio-3h2o-pa-acs-1000g
https://www.labimport.com.br/reagentes/sal/acetato-de-sodio-3h2o-pa-acs-1kg
https://www.lojasynth.com/reagentes/acetato-de-sodio-anidro-p-a</x:v>
      </x:c>
    </x:row>
    <x:row r="11" ht="30" customHeight="1">
      <x:c r="A11" s="19" t="str">
        <x:v>Acetona</x:v>
      </x:c>
      <x:c r="B11" s="19" t="str">
        <x:v>PA/ACS; 1 L</x:v>
      </x:c>
      <x:c r="C11" s="19" t="str">
        <x:v>R$/L</x:v>
      </x:c>
      <x:c r="D11" s="20" t="n">
        <x:v>20</x:v>
      </x:c>
      <x:c r="E11" s="20" t="n">
        <x:v>48</x:v>
      </x:c>
      <x:c r="F11" s="20" t="n">
        <x:v>79</x:v>
      </x:c>
      <x:c r="G11" s="20" t="n">
        <x:v>48</x:v>
      </x:c>
      <x:c r="H11" s="21" t="n">
        <x:f>IFERROR((F11-D11)/E11,"")</x:f>
        <x:v>1.2291666666666667</x:v>
      </x:c>
      <x:c r="I11" s="19" t="str">
        <x:v>Preços públicos/atas</x:v>
      </x:c>
      <x:c r="J11" s="19" t="str">
        <x:v>Preço de mercado pode variar por controle, frete e volume; grau HPLC deve ser tratado à parte.</x:v>
      </x:c>
      <x:c r="K11" s="19" t="str">
        <x:v>https://portaldatransparencia.gov.br/notas-fiscais
https://licitacoes.ufla.br
https://www.unifesspa.edu.br/licitacoes</x:v>
      </x:c>
    </x:row>
    <x:row r="12" ht="30" customHeight="1">
      <x:c r="A12" s="19" t="str">
        <x:v>Ácido acético glacial</x:v>
      </x:c>
      <x:c r="B12" s="19" t="str">
        <x:v>PA/ACS; 1 L</x:v>
      </x:c>
      <x:c r="C12" s="19" t="str">
        <x:v>R$/L</x:v>
      </x:c>
      <x:c r="D12" s="20" t="n">
        <x:v>35.87</x:v>
      </x:c>
      <x:c r="E12" s="20" t="n">
        <x:v>52.74</x:v>
      </x:c>
      <x:c r="F12" s="20" t="n">
        <x:v>80.71</x:v>
      </x:c>
      <x:c r="G12" s="20" t="n">
        <x:v>53</x:v>
      </x:c>
      <x:c r="H12" s="21" t="n">
        <x:f>IFERROR((F12-D12)/E12,"")</x:f>
        <x:v>0.850208570345089</x:v>
      </x:c>
      <x:c r="I12" s="19" t="str">
        <x:v>Preço aberto</x:v>
      </x:c>
      <x:c r="J12" s="19" t="str"/>
      <x:c r="K12" s="19" t="str">
        <x:v>https://www.didaticasp.com.br/acido-acetico-glacial-99-8-pa-1l
https://scqonline.com/acido-acetico-glacial-pa-acs-1l
https://pncp.gov.br/app/editais
https://portalpadrao.ufpi.br/proplan/licitacoes/arquivos/2025/etp-reagentes-quimicos</x:v>
      </x:c>
    </x:row>
    <x:row r="13" ht="30" customHeight="1">
      <x:c r="A13" s="19" t="str">
        <x:v>Diclorometano</x:v>
      </x:c>
      <x:c r="B13" s="19" t="str">
        <x:v>PA/ACS; 1 L</x:v>
      </x:c>
      <x:c r="C13" s="19" t="str">
        <x:v>R$/L</x:v>
      </x:c>
      <x:c r="D13" s="20" t="n">
        <x:v>43.45</x:v>
      </x:c>
      <x:c r="E13" s="20" t="n">
        <x:v>111.53</x:v>
      </x:c>
      <x:c r="F13" s="20" t="n">
        <x:v>300</x:v>
      </x:c>
      <x:c r="G13" s="20" t="n">
        <x:v>70</x:v>
      </x:c>
      <x:c r="H13" s="21" t="n">
        <x:f>IFERROR((F13-D13)/E13,"")</x:f>
        <x:v>2.300277952120506</x:v>
      </x:c>
      <x:c r="I13" s="19" t="str">
        <x:v>Preço aberto + NF pública; alta dispersão</x:v>
      </x:c>
      <x:c r="J13" s="19" t="str">
        <x:v>Inclui preço premium Merck/EMSURE no máximo; produto controlado, pode exigir licença.</x:v>
      </x:c>
      <x:c r="K13" s="19" t="str">
        <x:v>https://www.didaticasp.com.br/diclorometano-pa-1l
https://www.labimport.com.br/reagentes/solvente/diclorometano-pa-acs-1l
https://www.lojadolaboratorio.com.br/diclorometano-pa-acs-1000ml
https://interjet.com.br/diclorometano-para-analise-emsure-acsiso-1l-merck
https://portaldatransparencia.gov.br/notas-fiscais</x:v>
      </x:c>
    </x:row>
    <x:row r="14" ht="30" customHeight="1">
      <x:c r="A14" s="19" t="str">
        <x:v>Sulfato de amônio</x:v>
      </x:c>
      <x:c r="B14" s="19" t="str">
        <x:v>PA/ACS; 1 kg</x:v>
      </x:c>
      <x:c r="C14" s="19" t="str">
        <x:v>R$/kg</x:v>
      </x:c>
      <x:c r="D14" s="20" t="n">
        <x:v>35</x:v>
      </x:c>
      <x:c r="E14" s="20" t="n">
        <x:v>56.71</x:v>
      </x:c>
      <x:c r="F14" s="20" t="n">
        <x:v>78.52</x:v>
      </x:c>
      <x:c r="G14" s="20" t="n">
        <x:v>55</x:v>
      </x:c>
      <x:c r="H14" s="21" t="n">
        <x:f>IFERROR((F14-D14)/E14,"")</x:f>
        <x:v>0.7674131546464468</x:v>
      </x:c>
      <x:c r="I14" s="19" t="str">
        <x:v>Preço aberto</x:v>
      </x:c>
      <x:c r="J14" s="19" t="str"/>
      <x:c r="K14" s="19" t="str">
        <x:v>https://www.lojadolaboratorio.com.br/sulfato-de-amonio-pa-acs-1000g
https://www.lojasynth.com/reagentes/sulfato-de-amonio-pa-acs
https://www.mercadolivre.com.br/sulfato-de-amonio-pa-acs-1000g</x:v>
      </x:c>
    </x:row>
    <x:row r="15" ht="30" customHeight="1">
      <x:c r="A15" s="19" t="str">
        <x:v>Clorofórmio</x:v>
      </x:c>
      <x:c r="B15" s="19" t="str">
        <x:v>PA; 1 L</x:v>
      </x:c>
      <x:c r="C15" s="19" t="str">
        <x:v>R$/L</x:v>
      </x:c>
      <x:c r="D15" s="20" t="n">
        <x:v>60</x:v>
      </x:c>
      <x:c r="E15" s="20" t="n">
        <x:v>164.5</x:v>
      </x:c>
      <x:c r="F15" s="20" t="n">
        <x:v>269</x:v>
      </x:c>
      <x:c r="G15" s="20" t="n">
        <x:v>165</x:v>
      </x:c>
      <x:c r="H15" s="21" t="n">
        <x:f>IFERROR((F15-D15)/E15,"")</x:f>
        <x:v>1.2705167173252279</x:v>
      </x:c>
      <x:c r="I15" s="19" t="str">
        <x:v>Preço público/ata; pouca oferta aberta</x:v>
      </x:c>
      <x:c r="J15" s="19" t="str">
        <x:v>Usar com cautela: produto controlado e com baixa disponibilidade de preço público atual.</x:v>
      </x:c>
      <x:c r="K15" s="19" t="str">
        <x:v>https://www.ufop.br/licitacoes/pregao-reagentes-2022
https://www.ma.gov.br/licitacoes/2025/reagentes-quimicos</x:v>
      </x:c>
    </x:row>
    <x:row r="16" ht="30" customHeight="1">
      <x:c r="A16" s="19" t="str">
        <x:v>Acetonitrila</x:v>
      </x:c>
      <x:c r="B16" s="19" t="str">
        <x:v>PA/ACS ou HPLC; 1 L</x:v>
      </x:c>
      <x:c r="C16" s="19" t="str">
        <x:v>R$/L</x:v>
      </x:c>
      <x:c r="D16" s="20" t="n">
        <x:v>102.43</x:v>
      </x:c>
      <x:c r="E16" s="20" t="n">
        <x:v>180.81</x:v>
      </x:c>
      <x:c r="F16" s="20" t="n">
        <x:v>260</x:v>
      </x:c>
      <x:c r="G16" s="20" t="n">
        <x:v>180</x:v>
      </x:c>
      <x:c r="H16" s="21" t="n">
        <x:f>IFERROR((F16-D16)/E16,"")</x:f>
        <x:v>0.8714672861014324</x:v>
      </x:c>
      <x:c r="I16" s="19" t="str">
        <x:v>Preço aberto + heurística</x:v>
      </x:c>
      <x:c r="J16" s="19" t="str">
        <x:v>Preço público aberto encontrado para PA/ACS; HPLC normalmente requer cotação e pode elevar 1,5–2,5x.</x:v>
      </x:c>
      <x:c r="K16" s="19" t="str">
        <x:v>https://www.didaticasp.com.br/acetonitrila-pa-acs-1l
https://www.lojasynth.com/reagentes/acetonitrila-hplc-galao-4l
https://www.merckmillipore.com/BR/pt/product/Acetonitrile</x:v>
      </x:c>
    </x:row>
    <x:row r="17" ht="30" customHeight="1">
      <x:c r="A17" s="19" t="str">
        <x:v>Éter etílico</x:v>
      </x:c>
      <x:c r="B17" s="19" t="str">
        <x:v>PA/ACS; 1 L</x:v>
      </x:c>
      <x:c r="C17" s="19" t="str">
        <x:v>R$/L</x:v>
      </x:c>
      <x:c r="D17" s="20" t="n">
        <x:v>177.22</x:v>
      </x:c>
      <x:c r="E17" s="20" t="n">
        <x:v>290.15</x:v>
      </x:c>
      <x:c r="F17" s="20" t="n">
        <x:v>450</x:v>
      </x:c>
      <x:c r="G17" s="20" t="n">
        <x:v>250</x:v>
      </x:c>
      <x:c r="H17" s="21" t="n">
        <x:f>IFERROR((F17-D17)/E17,"")</x:f>
        <x:v>0.9401344132345338</x:v>
      </x:c>
      <x:c r="I17" s="19" t="str">
        <x:v>Preço aberto; produto controlado</x:v>
      </x:c>
      <x:c r="J17" s="19" t="str">
        <x:v>Produto inflamável/controlado; conferir licenças e grau anidro/HPLC.</x:v>
      </x:c>
      <x:c r="K17" s="19" t="str">
        <x:v>https://www.didaticasp.com.br/eter-etilico-pa-acs-1l
https://www.linklab.com.br/eter-etilico-anidro-pa-acs-1l
https://www.didaticasp.com.br/eter-etilico-uv-hplc-1l</x:v>
      </x:c>
    </x:row>
    <x:row r="18" ht="30" customHeight="1">
      <x:c r="A18" s="19" t="str">
        <x:v>Carbonato de sódio</x:v>
      </x:c>
      <x:c r="B18" s="19" t="str">
        <x:v>Anidro PA/ACS; 1 kg</x:v>
      </x:c>
      <x:c r="C18" s="19" t="str">
        <x:v>R$/kg</x:v>
      </x:c>
      <x:c r="D18" s="20" t="n">
        <x:v>26.9</x:v>
      </x:c>
      <x:c r="E18" s="20" t="n">
        <x:v>44.74</x:v>
      </x:c>
      <x:c r="F18" s="20" t="n">
        <x:v>88</x:v>
      </x:c>
      <x:c r="G18" s="20" t="n">
        <x:v>35</x:v>
      </x:c>
      <x:c r="H18" s="21" t="n">
        <x:f>IFERROR((F18-D18)/E18,"")</x:f>
        <x:v>1.3656683057666517</x:v>
      </x:c>
      <x:c r="I18" s="19" t="str">
        <x:v>Preço aberto</x:v>
      </x:c>
      <x:c r="J18" s="19" t="str"/>
      <x:c r="K18" s="19" t="str">
        <x:v>https://www.eplab.com.br/produto/carbonato-de-sodio-anidro-pa-1kg/
https://www.jglab.com.br/carbonato-de-sodio-pa
https://prolabmateriais.com.br/catalogo/2025/reagentes
https://www.ciruvix.com.br/produto/carbonato-de-sodio-anidro-pa-1kg</x:v>
      </x:c>
    </x:row>
    <x:row r="19" ht="30" customHeight="1">
      <x:c r="A19" s="19" t="str">
        <x:v>Permanganato de potássio</x:v>
      </x:c>
      <x:c r="B19" s="19" t="str">
        <x:v>PA/ACS; 1 kg</x:v>
      </x:c>
      <x:c r="C19" s="19" t="str">
        <x:v>R$/kg</x:v>
      </x:c>
      <x:c r="D19" s="20" t="n">
        <x:v>90</x:v>
      </x:c>
      <x:c r="E19" s="20" t="n">
        <x:v>319.09</x:v>
      </x:c>
      <x:c r="F19" s="20" t="n">
        <x:v>649.58</x:v>
      </x:c>
      <x:c r="G19" s="20" t="n">
        <x:v>220</x:v>
      </x:c>
      <x:c r="H19" s="21" t="n">
        <x:f>IFERROR((F19-D19)/E19,"")</x:f>
        <x:v>1.7536745118931965</x:v>
      </x:c>
      <x:c r="I19" s="19" t="str">
        <x:v>Preço público + preço aberto aproximado; alta dispersão</x:v>
      </x:c>
      <x:c r="J19" s="19" t="str">
        <x:v>Produto controlado; a faixa é instável e deve ser sobrescrita com cotação quando usado.</x:v>
      </x:c>
      <x:c r="K19" s="19" t="str">
        <x:v>https://www.lojadolaboratorio.com.br/permanganato-de-potassio-pa-acs-1000g
https://pncp.gov.br/app/editais
https://compras.dados.gov.br</x:v>
      </x:c>
    </x:row>
    <x:row r="20" ht="30" customHeight="1">
      <x:c r="A20" s="19" t="str">
        <x:v>Hexano</x:v>
      </x:c>
      <x:c r="B20" s="19" t="str">
        <x:v>PA/ACS; 1 L</x:v>
      </x:c>
      <x:c r="C20" s="19" t="str">
        <x:v>R$/L</x:v>
      </x:c>
      <x:c r="D20" s="20" t="n">
        <x:v>53.15</x:v>
      </x:c>
      <x:c r="E20" s="20" t="n">
        <x:v>65.01</x:v>
      </x:c>
      <x:c r="F20" s="20" t="n">
        <x:v>80</x:v>
      </x:c>
      <x:c r="G20" s="20" t="n">
        <x:v>65</x:v>
      </x:c>
      <x:c r="H20" s="21" t="n">
        <x:f>IFERROR((F20-D20)/E20,"")</x:f>
        <x:v>0.41301338255652975</x:v>
      </x:c>
      <x:c r="I20" s="19" t="str">
        <x:v>Preço aberto</x:v>
      </x:c>
      <x:c r="J20" s="19" t="str">
        <x:v>Hexano HPLC/N-hexano cromatográfico pode ser muito mais caro; separar se o método exigir.</x:v>
      </x:c>
      <x:c r="K20" s="19" t="str">
        <x:v>https://www.lumilabor.com.br/reagentes/hexano-pa-acs-1l
https://www.labstock.com.br/hexano-pa-acs-1l-anidrol
https://www.gov.br/ifto/licitacoes</x:v>
      </x:c>
    </x:row>
    <x:row r="21" ht="30" customHeight="1">
      <x:c r="A21" s="19" t="str">
        <x:v>Tiossulfato de sódio</x:v>
      </x:c>
      <x:c r="B21" s="19" t="str">
        <x:v>Pentahidratado PA/ACS; 1 kg</x:v>
      </x:c>
      <x:c r="C21" s="19" t="str">
        <x:v>R$/kg</x:v>
      </x:c>
      <x:c r="D21" s="20" t="n">
        <x:v>38.41</x:v>
      </x:c>
      <x:c r="E21" s="20" t="n">
        <x:v>56.01</x:v>
      </x:c>
      <x:c r="F21" s="20" t="n">
        <x:v>79.23</x:v>
      </x:c>
      <x:c r="G21" s="20" t="n">
        <x:v>52</x:v>
      </x:c>
      <x:c r="H21" s="21" t="n">
        <x:f>IFERROR((F21-D21)/E21,"")</x:f>
        <x:v>0.7287984288519909</x:v>
      </x:c>
      <x:c r="I21" s="19" t="str">
        <x:v>Preço aberto</x:v>
      </x:c>
      <x:c r="J21" s="19" t="str"/>
      <x:c r="K21" s="19" t="str">
        <x:v>https://www.lojasynth.com/reagentes/tiossulfato-de-sodio-5h2o-pa-acs
https://prolabmateriais.com.br/catalogo/2025/reagentes
https://www.ciruvix.com.br/produto/tiossulfato-de-sodio-pa-1kg
https://www.lojaacscientifica.com.br/tiossulfato-de-sodio-5h2o-pa-acs
https://www.interjet.com.br/tiossulfato-de-sodio-pentahidratado-pa-acs-1kg
https://www.metaquimica.com/tiossulfato-de-sodio-pentahidratado-pa-acs-1kg</x:v>
      </x:c>
    </x:row>
    <x:row r="22" ht="30" customHeight="1">
      <x:c r="A22" s="19" t="str">
        <x:v>Ácido clorídrico</x:v>
      </x:c>
      <x:c r="B22" s="19" t="str">
        <x:v>37% PA/ACS; 1 L</x:v>
      </x:c>
      <x:c r="C22" s="19" t="str">
        <x:v>R$/L</x:v>
      </x:c>
      <x:c r="D22" s="20" t="n">
        <x:v>76</x:v>
      </x:c>
      <x:c r="E22" s="20" t="n">
        <x:v>96.24</x:v>
      </x:c>
      <x:c r="F22" s="20" t="n">
        <x:v>130</x:v>
      </x:c>
      <x:c r="G22" s="20" t="n">
        <x:v>96</x:v>
      </x:c>
      <x:c r="H22" s="21" t="n">
        <x:f>IFERROR((F22-D22)/E22,"")</x:f>
        <x:v>0.5610972568578554</x:v>
      </x:c>
      <x:c r="I22" s="19" t="str">
        <x:v>Estimativa por cotações em ETP público</x:v>
      </x:c>
      <x:c r="J22" s="19" t="str">
        <x:v>Produto corrosivo; verificar frete e restrições.</x:v>
      </x:c>
      <x:c r="K22" s="19" t="str">
        <x:v>https://portalpadrao.ufpi.br/proplan/licitacoes/arquivos/2025/etp-reagentes-quimicos</x:v>
      </x:c>
    </x:row>
    <x:row r="23" ht="30" customHeight="1">
      <x:c r="A23" s="19" t="str">
        <x:v>Tolueno</x:v>
      </x:c>
      <x:c r="B23" s="19" t="str">
        <x:v>PA/ACS; 1 L</x:v>
      </x:c>
      <x:c r="C23" s="19" t="str">
        <x:v>R$/L</x:v>
      </x:c>
      <x:c r="D23" s="20" t="n">
        <x:v>53.89</x:v>
      </x:c>
      <x:c r="E23" s="20" t="n">
        <x:v>79.41</x:v>
      </x:c>
      <x:c r="F23" s="20" t="n">
        <x:v>104.92</x:v>
      </x:c>
      <x:c r="G23" s="20" t="n">
        <x:v>80</x:v>
      </x:c>
      <x:c r="H23" s="21" t="n">
        <x:f>IFERROR((F23-D23)/E23,"")</x:f>
        <x:v>0.6426142803173405</x:v>
      </x:c>
      <x:c r="I23" s="19" t="str">
        <x:v>Preço público/NF; pouca amostra</x:v>
      </x:c>
      <x:c r="J23" s="19" t="str">
        <x:v>Produto inflamável; grau HPLC deve ser tratado como item separado.</x:v>
      </x:c>
      <x:c r="K23" s="19" t="str">
        <x:v>https://portaldatransparencia.gov.br/notas-fiscais
https://mabus.com.br/licitacoes/reagentes-quimicos</x:v>
      </x:c>
    </x:row>
    <x:row r="24" ht="30" customHeight="1">
      <x:c r="A24" s="19" t="str">
        <x:v>Glicerina / glicerol</x:v>
      </x:c>
      <x:c r="B24" s="19" t="str">
        <x:v>PA/ACS; 1 L</x:v>
      </x:c>
      <x:c r="C24" s="19" t="str">
        <x:v>R$/L</x:v>
      </x:c>
      <x:c r="D24" s="20" t="n">
        <x:v>52.74</x:v>
      </x:c>
      <x:c r="E24" s="20" t="n">
        <x:v>57.44</x:v>
      </x:c>
      <x:c r="F24" s="20" t="n">
        <x:v>62.14</x:v>
      </x:c>
      <x:c r="G24" s="20" t="n">
        <x:v>57</x:v>
      </x:c>
      <x:c r="H24" s="21" t="n">
        <x:f>IFERROR((F24-D24)/E24,"")</x:f>
        <x:v>0.16364902506963785</x:v>
      </x:c>
      <x:c r="I24" s="19" t="str">
        <x:v>Preço aberto; pouca amostra</x:v>
      </x:c>
      <x:c r="J24" s="19" t="str"/>
      <x:c r="K24" s="19" t="str">
        <x:v>https://www.labstock.com.br/glicerina-pa-acs-1l-neon
https://orionprodutoscientificos.com.br/glicerina-pa-acs-1l-exodo</x:v>
      </x:c>
    </x:row>
    <x:row r="25" ht="30" customHeight="1">
      <x:c r="A25" s="19" t="str">
        <x:v>Sílica gel</x:v>
      </x:c>
      <x:c r="B25" s="19" t="str">
        <x:v>Sílica gel azul/branca PA; 1 kg equivalente</x:v>
      </x:c>
      <x:c r="C25" s="19" t="str">
        <x:v>R$/kg</x:v>
      </x:c>
      <x:c r="D25" s="20" t="n">
        <x:v>144.07</x:v>
      </x:c>
      <x:c r="E25" s="20" t="n">
        <x:v>185.34</x:v>
      </x:c>
      <x:c r="F25" s="20" t="n">
        <x:v>252.4</x:v>
      </x:c>
      <x:c r="G25" s="20" t="n">
        <x:v>160</x:v>
      </x:c>
      <x:c r="H25" s="21" t="n">
        <x:f>IFERROR((F25-D25)/E25,"")</x:f>
        <x:v>0.5844933635480739</x:v>
      </x:c>
      <x:c r="I25" s="19" t="str">
        <x:v>Lista de preço 2026 + conversão de embalagem</x:v>
      </x:c>
      <x:c r="J25" s="19" t="str">
        <x:v>Valores convertidos a partir de 100 g, 500 g e 1 kg; tipo, granulometria e indicador mudam preço.</x:v>
      </x:c>
      <x:c r="K25" s="19" t="str">
        <x:v>https://www.lojasynth.com/pdf/lista-precos-labsynth-2026.pdf
https://www.sigmaaldrich.com/BR/pt/product/sial/236802</x:v>
      </x:c>
    </x:row>
    <x:row r="26" ht="30" customHeight="1">
      <x:c r="A26" s="19" t="str">
        <x:v>Formiato de sódio</x:v>
      </x:c>
      <x:c r="B26" s="19" t="str">
        <x:v>PA; 1 kg equivalente</x:v>
      </x:c>
      <x:c r="C26" s="19" t="str">
        <x:v>R$/kg</x:v>
      </x:c>
      <x:c r="D26" s="20" t="n">
        <x:v>50</x:v>
      </x:c>
      <x:c r="E26" s="20" t="n">
        <x:v>62.26</x:v>
      </x:c>
      <x:c r="F26" s="20" t="n">
        <x:v>77.49</x:v>
      </x:c>
      <x:c r="G26" s="20" t="n">
        <x:v>60</x:v>
      </x:c>
      <x:c r="H26" s="21" t="n">
        <x:f>IFERROR((F26-D26)/E26,"")</x:f>
        <x:v>0.44153549630581423</x:v>
      </x:c>
      <x:c r="I26" s="19" t="str">
        <x:v>Preço aberto</x:v>
      </x:c>
      <x:c r="J26" s="19" t="str">
        <x:v>Muitos preços são para 500 g convertidos para R$/kg.</x:v>
      </x:c>
      <x:c r="K26" s="19" t="str">
        <x:v>https://www.didaticasp.com.br/formiato-de-sodio-pa-500g
https://www.amolab.com.br/formiato-de-sodio-pa-500g
https://orionprodutoscientificos.com.br/formiato-de-sodio-pa-1000g-neon
https://www.lojadolaboratorio.com.br/formiato-de-sodio-pa-500g</x:v>
      </x:c>
    </x:row>
    <x:row r="27" ht="30" customHeight="1">
      <x:c r="A27" s="19" t="str">
        <x:v>Dimetilformamida (DMF)</x:v>
      </x:c>
      <x:c r="B27" s="19" t="str">
        <x:v>N,N-dimetilformamida PA/ACS; 1 L</x:v>
      </x:c>
      <x:c r="C27" s="19" t="str">
        <x:v>R$/L</x:v>
      </x:c>
      <x:c r="D27" s="20" t="n">
        <x:v>57.16</x:v>
      </x:c>
      <x:c r="E27" s="20" t="n">
        <x:v>79.79</x:v>
      </x:c>
      <x:c r="F27" s="20" t="n">
        <x:v>122.22</x:v>
      </x:c>
      <x:c r="G27" s="20" t="n">
        <x:v>80</x:v>
      </x:c>
      <x:c r="H27" s="21" t="n">
        <x:f>IFERROR((F27-D27)/E27,"")</x:f>
        <x:v>0.8153903997994736</x:v>
      </x:c>
      <x:c r="I27" s="19" t="str">
        <x:v>Preço aberto; verificar grau e pureza</x:v>
      </x:c>
      <x:c r="J27" s="19" t="str"/>
      <x:c r="K27" s="19" t="str">
        <x:v>https://orionprodutoscientificos.com.br/dimetilformamida-n-n-pa-acs-1l-exodo
https://www.globallabor.com.br/dimetilformamida-n-n-pa-acs-1l-exodo-cientifica
https://prolabmateriais.com.br/dimetilformamida-n-n-pa-acs-dinamica</x:v>
      </x:c>
    </x:row>
    <x:row r="28" ht="30" customHeight="1">
      <x:c r="A28" s="19" t="str">
        <x:v>Isopropanol / 2-propanol</x:v>
      </x:c>
      <x:c r="B28" s="19" t="str">
        <x:v>PA/ACS; 1 L</x:v>
      </x:c>
      <x:c r="C28" s="19" t="str">
        <x:v>R$/L</x:v>
      </x:c>
      <x:c r="D28" s="20" t="n">
        <x:v>56.32</x:v>
      </x:c>
      <x:c r="E28" s="20" t="n">
        <x:v>70.37</x:v>
      </x:c>
      <x:c r="F28" s="20" t="n">
        <x:v>87.29</x:v>
      </x:c>
      <x:c r="G28" s="20" t="n">
        <x:v>68</x:v>
      </x:c>
      <x:c r="H28" s="21" t="n">
        <x:f>IFERROR((F28-D28)/E28,"")</x:f>
        <x:v>0.44010231632798075</x:v>
      </x:c>
      <x:c r="I28" s="19" t="str">
        <x:v>Preço aberto</x:v>
      </x:c>
      <x:c r="J28" s="19" t="str"/>
      <x:c r="K28" s="19" t="str">
        <x:v>https://scqonline.com/isopropanol-p-a-acs-1l
https://www.didaticasp.com.br/isopropanol-pa-acs-1l
https://portaldatransparencia.gov.br/notas-fiscais</x:v>
      </x:c>
    </x:row>
    <x:row r="29" ht="30" customHeight="1">
      <x:c r="A29" s="19" t="str">
        <x:v>EDTA / Titriplex III</x:v>
      </x:c>
      <x:c r="B29" s="19" t="str">
        <x:v>EDTA ácido ou sal dissódico PA/ACS; 1 kg</x:v>
      </x:c>
      <x:c r="C29" s="19" t="str">
        <x:v>R$/kg</x:v>
      </x:c>
      <x:c r="D29" s="20" t="n">
        <x:v>77.7</x:v>
      </x:c>
      <x:c r="E29" s="20" t="n">
        <x:v>225.13</x:v>
      </x:c>
      <x:c r="F29" s="20" t="n">
        <x:v>747.55</x:v>
      </x:c>
      <x:c r="G29" s="20" t="n">
        <x:v>100</x:v>
      </x:c>
      <x:c r="H29" s="21" t="n">
        <x:f>IFERROR((F29-D29)/E29,"")</x:f>
        <x:v>2.9753919957357966</x:v>
      </x:c>
      <x:c r="I29" s="19" t="str">
        <x:v>Preço aberto; Merck/Titriplex premium no máximo</x:v>
      </x:c>
      <x:c r="J29" s="19" t="str">
        <x:v>Separar EDTA ácido, sal dissódico e marca Merck/Titriplex se a especificação for crítica.</x:v>
      </x:c>
      <x:c r="K29" s="19" t="str">
        <x:v>https://www.lojasynth.com/reagentes-analiticosmaterias-primas/reagentes-analiticosmaterias-primas/e-d-t-a-acido-p-a
https://scqonline.com/edta-sal-dissodico-2h2o-pa-acs-1kg-14667
https://www.lojaacscientifica.com.br/edta-sal-dissodico-2h2o-pa-acs
https://www.globallabor.com.br/edta-sal-dissodico-2h2o-pa-acs-1kg-exodo-cientifica
https://pro-analise.com.br/edta-dissodico-2H2O-PA-ACS_1084181000-Merck</x:v>
      </x:c>
    </x:row>
    <x:row r="30" ht="30" customHeight="1">
      <x:c r="A30" s="19" t="str">
        <x:v>Óxido de alumínio</x:v>
      </x:c>
      <x:c r="B30" s="19" t="str">
        <x:v>Óxido de alumínio PA; 1 kg equivalente</x:v>
      </x:c>
      <x:c r="C30" s="19" t="str">
        <x:v>R$/kg</x:v>
      </x:c>
      <x:c r="D30" s="20" t="n">
        <x:v>518.4</x:v>
      </x:c>
      <x:c r="E30" s="20" t="n">
        <x:v>518.4</x:v>
      </x:c>
      <x:c r="F30" s="20" t="n">
        <x:v>518.4</x:v>
      </x:c>
      <x:c r="G30" s="20" t="n">
        <x:v>518.4</x:v>
      </x:c>
      <x:c r="H30" s="21" t="n">
        <x:f>IFERROR((F30-D30)/E30,"")</x:f>
        <x:v>0</x:v>
      </x:c>
      <x:c r="I30" s="19" t="str">
        <x:v>Estimativa por preço público único</x:v>
      </x:c>
      <x:c r="J30" s="19" t="str">
        <x:v>Única referência pública recente encontrada; converter de embalagem 500 g.</x:v>
      </x:c>
      <x:c r="K30" s="19" t="str">
        <x:v>https://www.gov.br/ifto/pt-br/acesso-a-informacao/licitacoes/2024/oxide-aluminio-pa-500g</x:v>
      </x:c>
    </x:row>
    <x:row r="31" ht="30" customHeight="1">
      <x:c r="A31" s="19" t="str">
        <x:v>Polietilenoglicol</x:v>
      </x:c>
      <x:c r="B31" s="19" t="str">
        <x:v>PEG 400/1000/1500/4000; unidade depende da massa molar</x:v>
      </x:c>
      <x:c r="C31" s="19" t="str">
        <x:v>R$/kg ou R$/L</x:v>
      </x:c>
      <x:c r="D31" s="20" t="n">
        <x:v>122.22</x:v>
      </x:c>
      <x:c r="E31" s="20" t="n">
        <x:v>216.57</x:v>
      </x:c>
      <x:c r="F31" s="20" t="n">
        <x:v>368.4</x:v>
      </x:c>
      <x:c r="G31" s="20" t="n">
        <x:v>240</x:v>
      </x:c>
      <x:c r="H31" s="21" t="n">
        <x:f>IFERROR((F31-D31)/E31,"")</x:f>
        <x:v>1.1367225377476105</x:v>
      </x:c>
      <x:c r="I31" s="19" t="str">
        <x:v>Preço aberto + preço público; especificação muito variável</x:v>
      </x:c>
      <x:c r="J31" s="19" t="str">
        <x:v>Preço depende fortemente da massa molar e forma física. Ideal separar PEG 400 líquido de PEG 1500/4000 sólido.</x:v>
      </x:c>
      <x:c r="K31" s="19" t="str">
        <x:v>https://www.lojasynth.com/reagentes/polietilenoglicol-1500-p-a
https://www.lojadolaboratorio.com.br/polietilenoglicol-1000-pa-1000g
https://pncp.gov.br/app/editais
https://www.ciruvix.com.br/produto/polietilenoglicol-4000-usp-250g</x:v>
      </x:c>
    </x:row>
  </x:sheetData>
  <x:conditionalFormatting sqref="H2:H31">
    <x:cfRule type="cellIs" dxfId="0" priority="1" operator="greater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f089dd5bb141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</x:cols>
  <x:sheetData>
    <x:row r="1" ht="36" customHeight="1">
      <x:c r="A1" s="38" t="str">
        <x:v>Tabela de preços default para reagentes de uso comum em PDI</x:v>
      </x:c>
      <x:c r="B1" s="19"/>
    </x:row>
    <x:row r="2" ht="36" customHeight="1">
      <x:c r="A2" s="39" t="str">
        <x:v>Data de referência</x:v>
      </x:c>
      <x:c r="B2" s="19" t="str">
        <x:v>2026-05-06</x:v>
      </x:c>
    </x:row>
    <x:row r="3" ht="36" customHeight="1">
      <x:c r="A3" s="39" t="str">
        <x:v>Quantidade de reagentes</x:v>
      </x:c>
      <x:c r="B3" s="19" t="n">
        <x:v>30</x:v>
      </x:c>
    </x:row>
    <x:row r="4" ht="36" customHeight="1">
      <x:c r="A4" s="39" t="str">
        <x:v>Uso pretendido</x:v>
      </x:c>
      <x:c r="B4" s="19" t="str">
        <x:v>Estimativa inicial de material de consumo; o usuário do modelo deve poder substituir o preço sugerido.</x:v>
      </x:c>
    </x:row>
    <x:row r="5" ht="36" customHeight="1">
      <x:c r="A5" s="39" t="str">
        <x:v>Escopo</x:v>
      </x:c>
      <x:c r="B5" s="19" t="str">
        <x:v>Lista consolidada a partir das abas INFLAMÁVEIS e REAGENTES do controle de estoque de abril/2026.</x:v>
      </x:c>
    </x:row>
    <x:row r="6" ht="36" customHeight="1">
      <x:c r="A6" s="39" t="str">
        <x:v>Limitações</x:v>
      </x:c>
      <x:c r="B6" s="19" t="str">
        <x:v>Não inclui frete, impostos, descontos contratuais, embalagem mínima, validade, disponibilidade, exigência de licença, nem diferença completa entre grau PA/ACS/HPLC/EMSURE.</x:v>
      </x:c>
    </x:row>
    <x:row r="7" ht="36" customHeight="1">
      <x:c r="A7" s="39" t="str">
        <x:v>Regra de default</x:v>
      </x:c>
      <x:c r="B7" s="19" t="str">
        <x:v>Quando havia várias referências, usei preço típico/mediana técnica; mantive menor, média simples e maior preço para transparência.</x:v>
      </x:c>
    </x:row>
    <x:row r="8" ht="36" customHeight="1">
      <x:c r="A8" s="39" t="str">
        <x:v>Aviso para controlados</x:v>
      </x:c>
      <x:c r="B8" s="19" t="str">
        <x:v>Solventes inflamáveis, corrosivos e alguns reagentes controlados podem exigir licença/cadastro e ter frete especial.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 ht="42" customHeight="1">
      <x:c r="A1" s="18" t="str">
        <x:v>Campo</x:v>
      </x:c>
      <x:c r="B1" s="18" t="str">
        <x:v>Descrição</x:v>
      </x:c>
    </x:row>
    <x:row r="2" ht="42" customHeight="1">
      <x:c r="A2" s="19" t="str">
        <x:v>Menor / média / maior preço</x:v>
      </x:c>
      <x:c r="B2" s="19" t="str">
        <x:v>Valores normalizados para unidade-base sempre que possível. A média é simples, não ponderada por confiabilidade ou volume.</x:v>
      </x:c>
    </x:row>
    <x:row r="3" ht="42" customHeight="1">
      <x:c r="A3" s="19" t="str">
        <x:v>Default PDI sugerido</x:v>
      </x:c>
      <x:c r="B3" s="19" t="str">
        <x:v>Valor recomendado para pré-orçamento. Em geral usei mediana/faixa típica, evitando que um outlier premium ou uma ata muito baixa domine o default.</x:v>
      </x:c>
    </x:row>
    <x:row r="4" ht="42" customHeight="1">
      <x:c r="A4" s="19" t="str">
        <x:v>Heurística usada quando faltou preço</x:v>
      </x:c>
      <x:c r="B4" s="19" t="str">
        <x:v>Quando só havia uma referência aberta ou quando o item tinha preço sob consulta, usei preço público, preço de item similar, conversão de embalagem ou multiplicador técnico indicado em observação.</x:v>
      </x:c>
    </x:row>
    <x:row r="5" ht="42" customHeight="1">
      <x:c r="A5" s="19" t="str">
        <x:v>Conversões</x:v>
      </x:c>
      <x:c r="B5" s="19" t="str">
        <x:v>Preços de 100 g, 250 g ou 500 g foram convertidos para R$/kg. Preços de frascos de 1 L foram tratados como R$/L.</x:v>
      </x:c>
    </x:row>
    <x:row r="6" ht="42" customHeight="1">
      <x:c r="A6" s="19" t="str">
        <x:v>Itens com maior risco de erro</x:v>
      </x:c>
      <x:c r="B6" s="19" t="str">
        <x:v>Acetonitrila, clorofórmio, óxido de alumínio, PEG e reagentes controlados; nesses casos recomenda-se cotação específica no projeto.</x:v>
      </x:c>
    </x:row>
    <x:row r="7" ht="42" customHeight="1">
      <x:c r="A7" s="19" t="str">
        <x:v>Critério de fornecedores</x:v>
      </x:c>
      <x:c r="B7" s="19" t="str">
        <x:v>Usei preferencialmente fornecedores laboratoriais nacionais com preço aberto e, quando a marca Merck/Sigma não exibia preço público, mantive Merck/Sigma como referência técnica, não como preço.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24" hidden="0" customWidth="1"/>
    <x:col min="5" max="5" width="50" hidden="0" customWidth="1"/>
  </x:cols>
  <x:sheetData>
    <x:row r="1">
      <x:c r="A1" s="18" t="str">
        <x:v>Reagente</x:v>
      </x:c>
      <x:c r="B1" s="18" t="str">
        <x:v>Unidade-base</x:v>
      </x:c>
      <x:c r="C1" s="18" t="str">
        <x:v>Default PDI sugerido</x:v>
      </x:c>
      <x:c r="D1" s="18" t="str">
        <x:v>Base da evidência</x:v>
      </x:c>
      <x:c r="E1" s="18" t="str">
        <x:v>Observação</x:v>
      </x:c>
    </x:row>
    <x:row r="2">
      <x:c r="A2" s="19" t="str">
        <x:v>Óxido de alumínio</x:v>
      </x:c>
      <x:c r="B2" s="19" t="str">
        <x:v>R$/kg</x:v>
      </x:c>
      <x:c r="C2" s="20" t="n">
        <x:v>518.4</x:v>
      </x:c>
      <x:c r="D2" s="19" t="str">
        <x:v>Estimativa por preço público único</x:v>
      </x:c>
      <x:c r="E2" s="19" t="str">
        <x:v>Única referência pública recente encontrada; converter de embalagem 500 g.</x:v>
      </x:c>
    </x:row>
    <x:row r="3">
      <x:c r="A3" s="19" t="str">
        <x:v>Éter etílico</x:v>
      </x:c>
      <x:c r="B3" s="19" t="str">
        <x:v>R$/L</x:v>
      </x:c>
      <x:c r="C3" s="20" t="n">
        <x:v>250</x:v>
      </x:c>
      <x:c r="D3" s="19" t="str">
        <x:v>Preço aberto; produto controlado</x:v>
      </x:c>
      <x:c r="E3" s="19" t="str">
        <x:v>Produto inflamável/controlado; conferir licenças e grau anidro/HPLC.</x:v>
      </x:c>
    </x:row>
    <x:row r="4">
      <x:c r="A4" s="19" t="str">
        <x:v>Polietilenoglicol</x:v>
      </x:c>
      <x:c r="B4" s="19" t="str">
        <x:v>R$/kg ou R$/L</x:v>
      </x:c>
      <x:c r="C4" s="20" t="n">
        <x:v>240</x:v>
      </x:c>
      <x:c r="D4" s="19" t="str">
        <x:v>Preço aberto + preço público; especificação muito variável</x:v>
      </x:c>
      <x:c r="E4" s="19" t="str">
        <x:v>Preço depende fortemente da massa molar e forma física. Ideal separar PEG 400 líquido de PEG 1500/4000 sólido.</x:v>
      </x:c>
    </x:row>
    <x:row r="5">
      <x:c r="A5" s="19" t="str">
        <x:v>Permanganato de potássio</x:v>
      </x:c>
      <x:c r="B5" s="19" t="str">
        <x:v>R$/kg</x:v>
      </x:c>
      <x:c r="C5" s="20" t="n">
        <x:v>220</x:v>
      </x:c>
      <x:c r="D5" s="19" t="str">
        <x:v>Preço público + preço aberto aproximado; alta dispersão</x:v>
      </x:c>
      <x:c r="E5" s="19" t="str">
        <x:v>Produto controlado; a faixa é instável e deve ser sobrescrita com cotação quando usado.</x:v>
      </x:c>
    </x:row>
    <x:row r="6">
      <x:c r="A6" s="19" t="str">
        <x:v>Acetonitrila</x:v>
      </x:c>
      <x:c r="B6" s="19" t="str">
        <x:v>R$/L</x:v>
      </x:c>
      <x:c r="C6" s="20" t="n">
        <x:v>180</x:v>
      </x:c>
      <x:c r="D6" s="19" t="str">
        <x:v>Preço aberto + heurística</x:v>
      </x:c>
      <x:c r="E6" s="19" t="str">
        <x:v>Preço público aberto encontrado para PA/ACS; HPLC normalmente requer cotação e pode elevar 1,5–2,5x.</x:v>
      </x:c>
    </x:row>
    <x:row r="7">
      <x:c r="A7" s="19" t="str">
        <x:v>Clorofórmio</x:v>
      </x:c>
      <x:c r="B7" s="19" t="str">
        <x:v>R$/L</x:v>
      </x:c>
      <x:c r="C7" s="20" t="n">
        <x:v>165</x:v>
      </x:c>
      <x:c r="D7" s="19" t="str">
        <x:v>Preço público/ata; pouca oferta aberta</x:v>
      </x:c>
      <x:c r="E7" s="19" t="str">
        <x:v>Usar com cautela: produto controlado e com baixa disponibilidade de preço público atual.</x:v>
      </x:c>
    </x:row>
    <x:row r="8">
      <x:c r="A8" s="19" t="str">
        <x:v>Sílica gel</x:v>
      </x:c>
      <x:c r="B8" s="19" t="str">
        <x:v>R$/kg</x:v>
      </x:c>
      <x:c r="C8" s="20" t="n">
        <x:v>160</x:v>
      </x:c>
      <x:c r="D8" s="19" t="str">
        <x:v>Lista de preço 2026 + conversão de embalagem</x:v>
      </x:c>
      <x:c r="E8" s="19" t="str">
        <x:v>Valores convertidos a partir de 100 g, 500 g e 1 kg; tipo, granulometria e indicador mudam preço.</x:v>
      </x:c>
    </x:row>
    <x:row r="9">
      <x:c r="A9" s="19" t="str">
        <x:v>Tetraidrofurano (THF)</x:v>
      </x:c>
      <x:c r="B9" s="19" t="str">
        <x:v>R$/L</x:v>
      </x:c>
      <x:c r="C9" s="20" t="n">
        <x:v>145</x:v>
      </x:c>
      <x:c r="D9" s="19" t="str">
        <x:v>Preço aberto; produto controlado/inflamável</x:v>
      </x:c>
      <x:c r="E9" s="19" t="str">
        <x:v>Evitei incluir outlier de R$450/L; verificar grau, estabilizante e controle regulatório.</x:v>
      </x:c>
    </x:row>
    <x:row r="10">
      <x:c r="A10" s="19" t="str">
        <x:v>Ácido sulfúrico</x:v>
      </x:c>
      <x:c r="B10" s="19" t="str">
        <x:v>R$/L</x:v>
      </x:c>
      <x:c r="C10" s="20" t="n">
        <x:v>120</x:v>
      </x:c>
      <x:c r="D10" s="19" t="str">
        <x:v>Preço público/ata + preço aberto</x:v>
      </x:c>
      <x:c r="E10" s="19" t="str">
        <x:v>Produto corrosivo; conferir frete especializado e restrições antes de usar em orçamento final.</x:v>
      </x:c>
    </x:row>
    <x:row r="11">
      <x:c r="A11" s="19" t="str">
        <x:v>EDTA / Titriplex III</x:v>
      </x:c>
      <x:c r="B11" s="19" t="str">
        <x:v>R$/kg</x:v>
      </x:c>
      <x:c r="C11" s="20" t="n">
        <x:v>100</x:v>
      </x:c>
      <x:c r="D11" s="19" t="str">
        <x:v>Preço aberto; Merck/Titriplex premium no máximo</x:v>
      </x:c>
      <x:c r="E11" s="19" t="str">
        <x:v>Separar EDTA ácido, sal dissódico e marca Merck/Titriplex se a especificação for crítica.</x:v>
      </x:c>
    </x:row>
    <x:row r="12">
      <x:c r="A12" s="19" t="str">
        <x:v>Ácido clorídrico</x:v>
      </x:c>
      <x:c r="B12" s="19" t="str">
        <x:v>R$/L</x:v>
      </x:c>
      <x:c r="C12" s="20" t="n">
        <x:v>96</x:v>
      </x:c>
      <x:c r="D12" s="19" t="str">
        <x:v>Estimativa por cotações em ETP público</x:v>
      </x:c>
      <x:c r="E12" s="19" t="str">
        <x:v>Produto corrosivo; verificar frete e restrições.</x:v>
      </x:c>
    </x:row>
    <x:row r="13">
      <x:c r="A13" s="19" t="str">
        <x:v>Hidróxido de potássio</x:v>
      </x:c>
      <x:c r="B13" s="19" t="str">
        <x:v>R$/kg</x:v>
      </x:c>
      <x:c r="C13" s="20" t="n">
        <x:v>87</x:v>
      </x:c>
      <x:c r="D13" s="19" t="str">
        <x:v>Preço aberto</x:v>
      </x:c>
      <x:c r="E13" s="19" t="str"/>
    </x:row>
    <x:row r="14">
      <x:c r="A14" s="19" t="str">
        <x:v>Tolueno</x:v>
      </x:c>
      <x:c r="B14" s="19" t="str">
        <x:v>R$/L</x:v>
      </x:c>
      <x:c r="C14" s="20" t="n">
        <x:v>80</x:v>
      </x:c>
      <x:c r="D14" s="19" t="str">
        <x:v>Preço público/NF; pouca amostra</x:v>
      </x:c>
      <x:c r="E14" s="19" t="str">
        <x:v>Produto inflamável; grau HPLC deve ser tratado como item separado.</x:v>
      </x:c>
    </x:row>
    <x:row r="15">
      <x:c r="A15" s="19" t="str">
        <x:v>Dimetilformamida (DMF)</x:v>
      </x:c>
      <x:c r="B15" s="19" t="str">
        <x:v>R$/L</x:v>
      </x:c>
      <x:c r="C15" s="20" t="n">
        <x:v>80</x:v>
      </x:c>
      <x:c r="D15" s="19" t="str">
        <x:v>Preço aberto; verificar grau e pureza</x:v>
      </x:c>
      <x:c r="E15" s="19" t="str"/>
    </x:row>
    <x:row r="16">
      <x:c r="A16" s="19" t="str">
        <x:v>Diclorometano</x:v>
      </x:c>
      <x:c r="B16" s="19" t="str">
        <x:v>R$/L</x:v>
      </x:c>
      <x:c r="C16" s="20" t="n">
        <x:v>70</x:v>
      </x:c>
      <x:c r="D16" s="19" t="str">
        <x:v>Preço aberto + NF pública; alta dispersão</x:v>
      </x:c>
      <x:c r="E16" s="19" t="str">
        <x:v>Inclui preço premium Merck/EMSURE no máximo; produto controlado, pode exigir licença.</x:v>
      </x:c>
    </x:row>
    <x:row r="17">
      <x:c r="A17" s="19" t="str">
        <x:v>Isopropanol / 2-propanol</x:v>
      </x:c>
      <x:c r="B17" s="19" t="str">
        <x:v>R$/L</x:v>
      </x:c>
      <x:c r="C17" s="20" t="n">
        <x:v>68</x:v>
      </x:c>
      <x:c r="D17" s="19" t="str">
        <x:v>Preço aberto</x:v>
      </x:c>
      <x:c r="E17" s="19" t="str"/>
    </x:row>
    <x:row r="18">
      <x:c r="A18" s="19" t="str">
        <x:v>Hexano</x:v>
      </x:c>
      <x:c r="B18" s="19" t="str">
        <x:v>R$/L</x:v>
      </x:c>
      <x:c r="C18" s="20" t="n">
        <x:v>65</x:v>
      </x:c>
      <x:c r="D18" s="19" t="str">
        <x:v>Preço aberto</x:v>
      </x:c>
      <x:c r="E18" s="19" t="str">
        <x:v>Hexano HPLC/N-hexano cromatográfico pode ser muito mais caro; separar se o método exigir.</x:v>
      </x:c>
    </x:row>
    <x:row r="19">
      <x:c r="A19" s="19" t="str">
        <x:v>Acetato de sódio</x:v>
      </x:c>
      <x:c r="B19" s="19" t="str">
        <x:v>R$/kg</x:v>
      </x:c>
      <x:c r="C19" s="20" t="n">
        <x:v>60</x:v>
      </x:c>
      <x:c r="D19" s="19" t="str">
        <x:v>Preço aberto; especificação influencia muito</x:v>
      </x:c>
      <x:c r="E19" s="19" t="str">
        <x:v>Anidro é mais caro; se o projeto especificar tri-hidratado, usar faixa inferior.</x:v>
      </x:c>
    </x:row>
    <x:row r="20">
      <x:c r="A20" s="19" t="str">
        <x:v>Formiato de sódio</x:v>
      </x:c>
      <x:c r="B20" s="19" t="str">
        <x:v>R$/kg</x:v>
      </x:c>
      <x:c r="C20" s="20" t="n">
        <x:v>60</x:v>
      </x:c>
      <x:c r="D20" s="19" t="str">
        <x:v>Preço aberto</x:v>
      </x:c>
      <x:c r="E20" s="19" t="str">
        <x:v>Muitos preços são para 500 g convertidos para R$/kg.</x:v>
      </x:c>
    </x:row>
    <x:row r="21">
      <x:c r="A21" s="19" t="str">
        <x:v>Glicerina / glicerol</x:v>
      </x:c>
      <x:c r="B21" s="19" t="str">
        <x:v>R$/L</x:v>
      </x:c>
      <x:c r="C21" s="20" t="n">
        <x:v>57</x:v>
      </x:c>
      <x:c r="D21" s="19" t="str">
        <x:v>Preço aberto; pouca amostra</x:v>
      </x:c>
      <x:c r="E21" s="19" t="str"/>
    </x:row>
    <x:row r="22">
      <x:c r="A22" s="19" t="str">
        <x:v>Sulfato de amônio</x:v>
      </x:c>
      <x:c r="B22" s="19" t="str">
        <x:v>R$/kg</x:v>
      </x:c>
      <x:c r="C22" s="20" t="n">
        <x:v>55</x:v>
      </x:c>
      <x:c r="D22" s="19" t="str">
        <x:v>Preço aberto</x:v>
      </x:c>
      <x:c r="E22" s="19" t="str"/>
    </x:row>
    <x:row r="23">
      <x:c r="A23" s="19" t="str">
        <x:v>Ácido acético glacial</x:v>
      </x:c>
      <x:c r="B23" s="19" t="str">
        <x:v>R$/L</x:v>
      </x:c>
      <x:c r="C23" s="20" t="n">
        <x:v>53</x:v>
      </x:c>
      <x:c r="D23" s="19" t="str">
        <x:v>Preço aberto</x:v>
      </x:c>
      <x:c r="E23" s="19" t="str"/>
    </x:row>
    <x:row r="24">
      <x:c r="A24" s="19" t="str">
        <x:v>Tiossulfato de sódio</x:v>
      </x:c>
      <x:c r="B24" s="19" t="str">
        <x:v>R$/kg</x:v>
      </x:c>
      <x:c r="C24" s="20" t="n">
        <x:v>52</x:v>
      </x:c>
      <x:c r="D24" s="19" t="str">
        <x:v>Preço aberto</x:v>
      </x:c>
      <x:c r="E24" s="19" t="str"/>
    </x:row>
    <x:row r="25">
      <x:c r="A25" s="19" t="str">
        <x:v>Acetona</x:v>
      </x:c>
      <x:c r="B25" s="19" t="str">
        <x:v>R$/L</x:v>
      </x:c>
      <x:c r="C25" s="20" t="n">
        <x:v>48</x:v>
      </x:c>
      <x:c r="D25" s="19" t="str">
        <x:v>Preços públicos/atas</x:v>
      </x:c>
      <x:c r="E25" s="19" t="str">
        <x:v>Preço de mercado pode variar por controle, frete e volume; grau HPLC deve ser tratado à parte.</x:v>
      </x:c>
    </x:row>
    <x:row r="26">
      <x:c r="A26" s="19" t="str">
        <x:v>Hidróxido de sódio</x:v>
      </x:c>
      <x:c r="B26" s="19" t="str">
        <x:v>R$/kg</x:v>
      </x:c>
      <x:c r="C26" s="20" t="n">
        <x:v>46</x:v>
      </x:c>
      <x:c r="D26" s="19" t="str">
        <x:v>Preço aberto; alta dispersão</x:v>
      </x:c>
      <x:c r="E26" s="19" t="str">
        <x:v>A média é puxada por fornecedores caros; default sugerido usa faixa típica de 1 kg PA/ACS.</x:v>
      </x:c>
    </x:row>
    <x:row r="27">
      <x:c r="A27" s="19" t="str">
        <x:v>Sulfato de sódio anidro</x:v>
      </x:c>
      <x:c r="B27" s="19" t="str">
        <x:v>R$/kg</x:v>
      </x:c>
      <x:c r="C27" s="20" t="n">
        <x:v>35</x:v>
      </x:c>
      <x:c r="D27" s="19" t="str">
        <x:v>Preço aberto</x:v>
      </x:c>
      <x:c r="E27" s="19" t="str"/>
    </x:row>
    <x:row r="28">
      <x:c r="A28" s="19" t="str">
        <x:v>Carbonato de sódio</x:v>
      </x:c>
      <x:c r="B28" s="19" t="str">
        <x:v>R$/kg</x:v>
      </x:c>
      <x:c r="C28" s="20" t="n">
        <x:v>35</x:v>
      </x:c>
      <x:c r="D28" s="19" t="str">
        <x:v>Preço aberto</x:v>
      </x:c>
      <x:c r="E28" s="19" t="str"/>
    </x:row>
    <x:row r="29">
      <x:c r="A29" s="19" t="str">
        <x:v>Metanol</x:v>
      </x:c>
      <x:c r="B29" s="19" t="str">
        <x:v>R$/L</x:v>
      </x:c>
      <x:c r="C29" s="20" t="n">
        <x:v>32</x:v>
      </x:c>
      <x:c r="D29" s="19" t="str">
        <x:v>Preço aberto</x:v>
      </x:c>
      <x:c r="E29" s="19" t="str">
        <x:v>Grau HPLC pode ser substancialmente mais caro.</x:v>
      </x:c>
    </x:row>
    <x:row r="30">
      <x:c r="A30" s="19" t="str">
        <x:v>Etanol / álcool etílico</x:v>
      </x:c>
      <x:c r="B30" s="19" t="str">
        <x:v>R$/L</x:v>
      </x:c>
      <x:c r="C30" s="20" t="n">
        <x:v>30</x:v>
      </x:c>
      <x:c r="D30" s="19" t="str">
        <x:v>Preço aberto</x:v>
      </x:c>
      <x:c r="E30" s="19" t="str">
        <x:v>Para projetos, diferenciar 95%, absoluto e grau HPLC quando relevante.</x:v>
      </x:c>
    </x:row>
    <x:row r="31">
      <x:c r="A31" s="19" t="str">
        <x:v>Cloreto de sódio</x:v>
      </x:c>
      <x:c r="B31" s="19" t="str">
        <x:v>R$/kg</x:v>
      </x:c>
      <x:c r="C31" s="20" t="n">
        <x:v>26</x:v>
      </x:c>
      <x:c r="D31" s="19" t="str">
        <x:v>Preço aberto</x:v>
      </x:c>
      <x:c r="E31" s="19" t="str">
        <x:v>Reagente de baixo custo; preço varia mais por fornecedor e embalagem do que por especificação.</x:v>
      </x:c>
    </x:row>
  </x:sheetData>
  <x:pageMargins left="0.7" right="0.7" top="0.75" bottom="0.75" header="0.3" footer="0.3"/>
  <x:tableParts count="1">
    <x:tablePart xmlns:r="http://schemas.openxmlformats.org/officeDocument/2006/relationships" r:id="Rc81f021ccf954ad0"/>
  </x:tableParts>
</x:worksheet>
</file>